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joaoa\Downloads\faculdade\P.I\Git Projeto\sprint 2\Projeto-Luminous-v2\documentação\"/>
    </mc:Choice>
  </mc:AlternateContent>
  <xr:revisionPtr revIDLastSave="0" documentId="13_ncr:1_{2420AB59-197E-4900-B1A8-56B4749D2141}" xr6:coauthVersionLast="45" xr6:coauthVersionMax="45" xr10:uidLastSave="{00000000-0000-0000-0000-000000000000}"/>
  <bookViews>
    <workbookView xWindow="-120" yWindow="-120" windowWidth="19440" windowHeight="10440" xr2:uid="{00000000-000D-0000-FFFF-FFFF00000000}"/>
  </bookViews>
  <sheets>
    <sheet name="Plan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G3" i="1"/>
  <c r="B3" i="1"/>
  <c r="F3" i="1"/>
  <c r="C3" i="1"/>
</calcChain>
</file>

<file path=xl/sharedStrings.xml><?xml version="1.0" encoding="utf-8"?>
<sst xmlns="http://schemas.openxmlformats.org/spreadsheetml/2006/main" count="7" uniqueCount="7">
  <si>
    <t>Min</t>
  </si>
  <si>
    <t>1/4</t>
  </si>
  <si>
    <t>recomendado</t>
  </si>
  <si>
    <t>Max</t>
  </si>
  <si>
    <t>dia</t>
  </si>
  <si>
    <t>lumens</t>
  </si>
  <si>
    <t>3/4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</si>
</sst>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0D0D0D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49" fontId="0" fillId="4" borderId="0" xfId="0" applyNumberFormat="1" applyFill="1" applyAlignment="1">
      <alignment horizontal="center"/>
    </xf>
    <xf numFmtId="49" fontId="2" fillId="5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9"/>
  <sheetViews>
    <sheetView tabSelected="1" workbookViewId="0">
      <selection activeCell="D8" sqref="D8"/>
    </sheetView>
  </sheetViews>
  <sheetFormatPr defaultRowHeight="15" x14ac:dyDescent="0.25"/>
  <cols>
    <col min="3" max="3" width="9.7109375" customWidth="1"/>
    <col min="4" max="4" width="11" customWidth="1"/>
    <col min="5" max="5" width="9.7109375" customWidth="1"/>
  </cols>
  <sheetData>
    <row r="2" spans="2:9" x14ac:dyDescent="0.25">
      <c r="B2" s="6" t="s">
        <v>0</v>
      </c>
      <c r="C2" s="5" t="s">
        <v>1</v>
      </c>
      <c r="D2" s="8" t="s">
        <v>2</v>
      </c>
      <c r="E2" s="8"/>
      <c r="F2" s="4" t="s">
        <v>6</v>
      </c>
      <c r="G2" s="2" t="s">
        <v>3</v>
      </c>
      <c r="H2" s="7" t="s">
        <v>4</v>
      </c>
      <c r="I2" s="7" t="s">
        <v>5</v>
      </c>
    </row>
    <row r="3" spans="2:9" x14ac:dyDescent="0.25">
      <c r="B3" s="1">
        <f>MIN(I3:I19)</f>
        <v>500</v>
      </c>
      <c r="C3" s="3">
        <f>_xlfn.QUARTILE.EXC(I3:I18,1)</f>
        <v>631.25</v>
      </c>
      <c r="D3" s="3">
        <f>AVERAGE(I3:I19)</f>
        <v>715.11764705882354</v>
      </c>
      <c r="E3" s="1">
        <f>MEDIAN(I3:I19)</f>
        <v>700</v>
      </c>
      <c r="F3" s="1">
        <f>_xlfn.QUARTILE.EXC(I3:I19,3)</f>
        <v>800</v>
      </c>
      <c r="G3" s="1">
        <f>MAX(I3:I19)</f>
        <v>1000</v>
      </c>
      <c r="H3" s="7">
        <v>1</v>
      </c>
      <c r="I3" s="7">
        <v>750</v>
      </c>
    </row>
    <row r="4" spans="2:9" x14ac:dyDescent="0.25">
      <c r="H4" s="7">
        <v>2</v>
      </c>
      <c r="I4" s="7">
        <v>700</v>
      </c>
    </row>
    <row r="5" spans="2:9" x14ac:dyDescent="0.25">
      <c r="H5" s="7">
        <v>3</v>
      </c>
      <c r="I5" s="7">
        <v>800</v>
      </c>
    </row>
    <row r="6" spans="2:9" x14ac:dyDescent="0.25">
      <c r="H6" s="7">
        <v>4</v>
      </c>
      <c r="I6" s="7">
        <v>1000</v>
      </c>
    </row>
    <row r="7" spans="2:9" x14ac:dyDescent="0.25">
      <c r="H7" s="7">
        <v>5</v>
      </c>
      <c r="I7" s="7">
        <v>500</v>
      </c>
    </row>
    <row r="8" spans="2:9" x14ac:dyDescent="0.25">
      <c r="H8" s="7">
        <v>6</v>
      </c>
      <c r="I8" s="7">
        <v>625</v>
      </c>
    </row>
    <row r="9" spans="2:9" x14ac:dyDescent="0.25">
      <c r="H9" s="7">
        <v>7</v>
      </c>
      <c r="I9" s="7">
        <v>950</v>
      </c>
    </row>
    <row r="10" spans="2:9" x14ac:dyDescent="0.25">
      <c r="H10" s="7">
        <v>8</v>
      </c>
      <c r="I10" s="7">
        <v>872</v>
      </c>
    </row>
    <row r="11" spans="2:9" x14ac:dyDescent="0.25">
      <c r="H11" s="7">
        <v>9</v>
      </c>
      <c r="I11" s="7">
        <v>800</v>
      </c>
    </row>
    <row r="12" spans="2:9" x14ac:dyDescent="0.25">
      <c r="H12" s="7">
        <v>10</v>
      </c>
      <c r="I12" s="7">
        <v>660</v>
      </c>
    </row>
    <row r="13" spans="2:9" x14ac:dyDescent="0.25">
      <c r="H13" s="7">
        <v>11</v>
      </c>
      <c r="I13" s="7">
        <v>600</v>
      </c>
    </row>
    <row r="14" spans="2:9" x14ac:dyDescent="0.25">
      <c r="H14" s="7">
        <v>11</v>
      </c>
      <c r="I14" s="7">
        <v>500</v>
      </c>
    </row>
    <row r="15" spans="2:9" x14ac:dyDescent="0.25">
      <c r="H15" s="7">
        <v>13</v>
      </c>
      <c r="I15" s="7">
        <v>650</v>
      </c>
    </row>
    <row r="16" spans="2:9" x14ac:dyDescent="0.25">
      <c r="H16" s="7">
        <v>14</v>
      </c>
      <c r="I16" s="7">
        <v>700</v>
      </c>
    </row>
    <row r="17" spans="8:9" x14ac:dyDescent="0.25">
      <c r="H17" s="7">
        <v>15</v>
      </c>
      <c r="I17" s="7">
        <v>750</v>
      </c>
    </row>
    <row r="18" spans="8:9" x14ac:dyDescent="0.25">
      <c r="H18" s="7">
        <v>16</v>
      </c>
      <c r="I18" s="7">
        <v>700</v>
      </c>
    </row>
    <row r="19" spans="8:9" x14ac:dyDescent="0.25">
      <c r="H19" s="7">
        <v>17</v>
      </c>
      <c r="I19" s="7">
        <v>600</v>
      </c>
    </row>
  </sheetData>
  <mergeCells count="1">
    <mergeCell ref="D2:E2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joao arnaut</dc:creator>
  <cp:keywords/>
  <dc:description/>
  <cp:lastModifiedBy>joao arnaut</cp:lastModifiedBy>
  <cp:revision/>
  <dcterms:created xsi:type="dcterms:W3CDTF">2015-06-05T18:19:34Z</dcterms:created>
  <dcterms:modified xsi:type="dcterms:W3CDTF">2020-10-29T01:41:55Z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7b088741-606a-4246-a89a-54b79915b86e</vt:lpwstr>
  </property>
</Properties>
</file>