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7"/>
  <workbookPr/>
  <mc:AlternateContent xmlns:mc="http://schemas.openxmlformats.org/markup-compatibility/2006">
    <mc:Choice Requires="x15">
      <x15ac:absPath xmlns:x15ac="http://schemas.microsoft.com/office/spreadsheetml/2010/11/ac" url="C:\Users\joaoa\Downloads\faculdade\P.I\Git Projeto\sprint 2\Projeto-Luminous-v2\documentação\"/>
    </mc:Choice>
  </mc:AlternateContent>
  <xr:revisionPtr revIDLastSave="68" documentId="13_ncr:1_{BEEC26A4-6530-48DF-9014-F1C90AF62A9C}" xr6:coauthVersionLast="45" xr6:coauthVersionMax="45" xr10:uidLastSave="{90B912B4-4CEA-4284-ACF5-52FA806AC117}"/>
  <bookViews>
    <workbookView xWindow="-120" yWindow="-120" windowWidth="19440" windowHeight="10440" xr2:uid="{00000000-000D-0000-FFFF-FFFF00000000}"/>
  </bookViews>
  <sheets>
    <sheet name="Plan1" sheetId="1" r:id="rId1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G3" i="1"/>
  <c r="B3" i="1"/>
  <c r="F3" i="1"/>
  <c r="C3" i="1"/>
</calcChain>
</file>

<file path=xl/sharedStrings.xml><?xml version="1.0" encoding="utf-8"?>
<sst xmlns="http://schemas.openxmlformats.org/spreadsheetml/2006/main" count="7" uniqueCount="6">
  <si>
    <t>Min</t>
  </si>
  <si>
    <t>1/4</t>
  </si>
  <si>
    <t>recomendado</t>
  </si>
  <si>
    <t>Max</t>
  </si>
  <si>
    <t>dia</t>
  </si>
  <si>
    <t>lumens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</si>
</sst>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0D0D0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49" fontId="0" fillId="4" borderId="0" xfId="0" applyNumberFormat="1" applyFill="1" applyAlignment="1">
      <alignment horizontal="center"/>
    </xf>
    <xf numFmtId="49" fontId="2" fillId="5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9"/>
  <sheetViews>
    <sheetView tabSelected="1" workbookViewId="0">
      <selection activeCell="F7" sqref="F7"/>
    </sheetView>
  </sheetViews>
  <sheetFormatPr defaultRowHeight="15"/>
  <cols>
    <col min="3" max="3" width="9.7109375" customWidth="1"/>
    <col min="4" max="4" width="11" customWidth="1"/>
    <col min="5" max="5" width="9.7109375" customWidth="1"/>
  </cols>
  <sheetData>
    <row r="2" spans="2:9">
      <c r="B2" s="7" t="s">
        <v>0</v>
      </c>
      <c r="C2" s="6" t="s">
        <v>1</v>
      </c>
      <c r="D2" s="3" t="s">
        <v>2</v>
      </c>
      <c r="E2" s="3"/>
      <c r="F2" s="5" t="s">
        <v>1</v>
      </c>
      <c r="G2" s="2" t="s">
        <v>3</v>
      </c>
      <c r="H2" s="1" t="s">
        <v>4</v>
      </c>
      <c r="I2" s="1" t="s">
        <v>5</v>
      </c>
    </row>
    <row r="3" spans="2:9">
      <c r="B3" s="1">
        <f>MIN(I3:I19)</f>
        <v>500</v>
      </c>
      <c r="C3" s="4">
        <f>_xlfn.QUARTILE.EXC(I3:I18,1)</f>
        <v>631.25</v>
      </c>
      <c r="D3" s="4">
        <f>AVERAGE(I3:I19)</f>
        <v>715.11764705882354</v>
      </c>
      <c r="E3" s="1">
        <f>MEDIAN(I3:I19)</f>
        <v>700</v>
      </c>
      <c r="F3" s="1">
        <f>_xlfn.QUARTILE.EXC(I3:I19,3)</f>
        <v>800</v>
      </c>
      <c r="G3" s="1">
        <f>MAX(I3:I19)</f>
        <v>1000</v>
      </c>
      <c r="H3">
        <v>1</v>
      </c>
      <c r="I3">
        <v>750</v>
      </c>
    </row>
    <row r="4" spans="2:9">
      <c r="H4">
        <v>2</v>
      </c>
      <c r="I4">
        <v>700</v>
      </c>
    </row>
    <row r="5" spans="2:9">
      <c r="H5">
        <v>3</v>
      </c>
      <c r="I5">
        <v>800</v>
      </c>
    </row>
    <row r="6" spans="2:9">
      <c r="H6">
        <v>4</v>
      </c>
      <c r="I6">
        <v>1000</v>
      </c>
    </row>
    <row r="7" spans="2:9">
      <c r="H7">
        <v>5</v>
      </c>
      <c r="I7">
        <v>500</v>
      </c>
    </row>
    <row r="8" spans="2:9">
      <c r="H8">
        <v>6</v>
      </c>
      <c r="I8">
        <v>625</v>
      </c>
    </row>
    <row r="9" spans="2:9">
      <c r="H9">
        <v>7</v>
      </c>
      <c r="I9">
        <v>950</v>
      </c>
    </row>
    <row r="10" spans="2:9">
      <c r="H10">
        <v>8</v>
      </c>
      <c r="I10">
        <v>872</v>
      </c>
    </row>
    <row r="11" spans="2:9">
      <c r="H11">
        <v>9</v>
      </c>
      <c r="I11">
        <v>800</v>
      </c>
    </row>
    <row r="12" spans="2:9">
      <c r="H12">
        <v>10</v>
      </c>
      <c r="I12">
        <v>660</v>
      </c>
    </row>
    <row r="13" spans="2:9">
      <c r="H13">
        <v>11</v>
      </c>
      <c r="I13">
        <v>600</v>
      </c>
    </row>
    <row r="14" spans="2:9">
      <c r="H14">
        <v>11</v>
      </c>
      <c r="I14">
        <v>500</v>
      </c>
    </row>
    <row r="15" spans="2:9">
      <c r="H15">
        <v>13</v>
      </c>
      <c r="I15">
        <v>650</v>
      </c>
    </row>
    <row r="16" spans="2:9">
      <c r="H16">
        <v>14</v>
      </c>
      <c r="I16">
        <v>700</v>
      </c>
    </row>
    <row r="17" spans="8:9">
      <c r="H17">
        <v>15</v>
      </c>
      <c r="I17">
        <v>750</v>
      </c>
    </row>
    <row r="18" spans="8:9">
      <c r="H18">
        <v>16</v>
      </c>
      <c r="I18">
        <v>700</v>
      </c>
    </row>
    <row r="19" spans="8:9">
      <c r="H19">
        <v>17</v>
      </c>
      <c r="I19">
        <v>600</v>
      </c>
    </row>
  </sheetData>
  <mergeCells count="1">
    <mergeCell ref="D2:E2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joao arnaut</dc:creator>
  <cp:keywords/>
  <dc:description/>
  <cp:lastModifiedBy>JOÃO PEDRO ARNAUT DA SILVA .</cp:lastModifiedBy>
  <cp:revision/>
  <dcterms:created xsi:type="dcterms:W3CDTF">2015-06-05T18:19:34Z</dcterms:created>
  <dcterms:modified xsi:type="dcterms:W3CDTF">2020-10-28T18:32:54Z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7b088741-606a-4246-a89a-54b79915b86e</vt:lpwstr>
  </property>
</Properties>
</file>